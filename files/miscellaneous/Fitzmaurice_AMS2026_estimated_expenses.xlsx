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adminliveunc-my.sharepoint.com/personal/kieranf_ad_unc_edu/Documents/Documents/1. Research/Project 2 - Flood Loss Index/1. Administration/Expenses/AMS26/"/>
    </mc:Choice>
  </mc:AlternateContent>
  <xr:revisionPtr revIDLastSave="46" documentId="14_{8447A3AB-1356-416B-9B20-AB3EE41DAE92}" xr6:coauthVersionLast="47" xr6:coauthVersionMax="47" xr10:uidLastSave="{0B83FDCB-A440-4A09-881D-002110A25E54}"/>
  <bookViews>
    <workbookView xWindow="2616" yWindow="792" windowWidth="17388" windowHeight="11004" xr2:uid="{A41197B3-6138-4B60-BD29-F9B003A82E2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0" i="1" l="1"/>
  <c r="B6" i="1"/>
  <c r="H4" i="1"/>
  <c r="H6" i="1" s="1"/>
</calcChain>
</file>

<file path=xl/sharedStrings.xml><?xml version="1.0" encoding="utf-8"?>
<sst xmlns="http://schemas.openxmlformats.org/spreadsheetml/2006/main" count="17" uniqueCount="16">
  <si>
    <t>Expense</t>
  </si>
  <si>
    <t>Estimated cost</t>
  </si>
  <si>
    <t>Abstract submission fee (student price)</t>
  </si>
  <si>
    <t>Conference registration fee (student price)</t>
  </si>
  <si>
    <t>Per-diem calculation</t>
  </si>
  <si>
    <t>Daily rate:</t>
  </si>
  <si>
    <t>Rate for travel days:</t>
  </si>
  <si>
    <t>Number of days:</t>
  </si>
  <si>
    <t>Total:</t>
  </si>
  <si>
    <t>AMS membership (student price)</t>
  </si>
  <si>
    <t>https://www.gsa.gov/travel/plan-book/per-diem-rates</t>
  </si>
  <si>
    <t xml:space="preserve">Federal per-diem rate lookup: </t>
  </si>
  <si>
    <t>Airfare</t>
  </si>
  <si>
    <t>Lodging (splitting room but  charging my card)</t>
  </si>
  <si>
    <t>Meals and incidental expenses (see per-diem section)</t>
  </si>
  <si>
    <t>Transportation (Lyft to/from airport)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</si>
</sst>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5" formatCode="_(&quot;$&quot;* #,##0_);_(&quot;$&quot;* \(#,##0\);_(&quot;$&quot;* &quot;-&quot;??_);_(@_)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0" fontId="3" fillId="0" borderId="0" applyNumberFormat="0" applyFill="0" applyBorder="0" applyAlignment="0" applyProtection="0"/>
  </cellStyleXfs>
  <cellXfs count="13">
    <xf numFmtId="0" fontId="0" fillId="0" borderId="0" xfId="0"/>
    <xf numFmtId="0" fontId="2" fillId="0" borderId="0" xfId="0" applyFont="1"/>
    <xf numFmtId="0" fontId="2" fillId="0" borderId="1" xfId="0" applyFont="1" applyBorder="1"/>
    <xf numFmtId="0" fontId="0" fillId="0" borderId="2" xfId="0" applyBorder="1"/>
    <xf numFmtId="0" fontId="0" fillId="0" borderId="3" xfId="0" applyBorder="1"/>
    <xf numFmtId="44" fontId="0" fillId="0" borderId="4" xfId="1" applyFont="1" applyBorder="1"/>
    <xf numFmtId="0" fontId="0" fillId="0" borderId="4" xfId="0" applyBorder="1"/>
    <xf numFmtId="0" fontId="0" fillId="0" borderId="5" xfId="0" applyBorder="1"/>
    <xf numFmtId="44" fontId="0" fillId="0" borderId="6" xfId="1" applyFont="1" applyBorder="1"/>
    <xf numFmtId="0" fontId="3" fillId="0" borderId="0" xfId="2"/>
    <xf numFmtId="165" fontId="0" fillId="0" borderId="0" xfId="1" applyNumberFormat="1" applyFont="1"/>
    <xf numFmtId="165" fontId="0" fillId="0" borderId="0" xfId="0" applyNumberFormat="1"/>
    <xf numFmtId="165" fontId="2" fillId="0" borderId="0" xfId="0" applyNumberFormat="1" applyFont="1" applyFill="1"/>
  </cellXfs>
  <cellStyles count="3">
    <cellStyle name="Currency" xfId="1" builtinId="4"/>
    <cellStyle name="Hyperlink" xfId="2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DFD05A-3649-4905-B916-12E1B05139ED}">
  <dimension ref="A1:H10"/>
  <sheetViews>
    <sheetView tabSelected="1" workbookViewId="0">
      <selection activeCell="H9" sqref="H9"/>
    </sheetView>
  </sheetViews>
  <sheetFormatPr defaultRowHeight="14.4" x14ac:dyDescent="0.3"/>
  <cols>
    <col min="1" max="1" width="44.109375" customWidth="1"/>
    <col min="2" max="2" width="16.6640625" customWidth="1"/>
    <col min="7" max="7" width="26" customWidth="1"/>
    <col min="8" max="8" width="16.33203125" customWidth="1"/>
  </cols>
  <sheetData>
    <row r="1" spans="1:8" ht="15" thickBot="1" x14ac:dyDescent="0.35">
      <c r="A1" s="1" t="s">
        <v>0</v>
      </c>
      <c r="B1" s="1" t="s">
        <v>1</v>
      </c>
    </row>
    <row r="2" spans="1:8" x14ac:dyDescent="0.3">
      <c r="A2" t="s">
        <v>9</v>
      </c>
      <c r="B2" s="10">
        <v>20</v>
      </c>
      <c r="G2" s="2" t="s">
        <v>4</v>
      </c>
      <c r="H2" s="3"/>
    </row>
    <row r="3" spans="1:8" x14ac:dyDescent="0.3">
      <c r="A3" t="s">
        <v>2</v>
      </c>
      <c r="B3" s="10">
        <v>120</v>
      </c>
      <c r="G3" s="4" t="s">
        <v>5</v>
      </c>
      <c r="H3" s="5">
        <v>80</v>
      </c>
    </row>
    <row r="4" spans="1:8" x14ac:dyDescent="0.3">
      <c r="A4" t="s">
        <v>3</v>
      </c>
      <c r="B4" s="10">
        <v>165</v>
      </c>
      <c r="G4" s="4" t="s">
        <v>6</v>
      </c>
      <c r="H4" s="5">
        <f>0.75*H3</f>
        <v>60</v>
      </c>
    </row>
    <row r="5" spans="1:8" x14ac:dyDescent="0.3">
      <c r="A5" t="s">
        <v>15</v>
      </c>
      <c r="B5" s="10">
        <v>75</v>
      </c>
      <c r="G5" s="4" t="s">
        <v>7</v>
      </c>
      <c r="H5" s="6">
        <v>5</v>
      </c>
    </row>
    <row r="6" spans="1:8" ht="15" thickBot="1" x14ac:dyDescent="0.35">
      <c r="A6" t="s">
        <v>14</v>
      </c>
      <c r="B6" s="10">
        <f>H6</f>
        <v>360</v>
      </c>
      <c r="G6" s="7" t="s">
        <v>8</v>
      </c>
      <c r="H6" s="8">
        <f>2*H4+(H5-2)*H3</f>
        <v>360</v>
      </c>
    </row>
    <row r="7" spans="1:8" x14ac:dyDescent="0.3">
      <c r="A7" t="s">
        <v>13</v>
      </c>
      <c r="B7" s="10">
        <v>1000</v>
      </c>
      <c r="G7" s="1" t="s">
        <v>11</v>
      </c>
      <c r="H7" s="9" t="s">
        <v>10</v>
      </c>
    </row>
    <row r="8" spans="1:8" x14ac:dyDescent="0.3">
      <c r="A8" t="s">
        <v>12</v>
      </c>
      <c r="B8" s="11">
        <v>400</v>
      </c>
      <c r="G8" s="1"/>
      <c r="H8" s="9"/>
    </row>
    <row r="10" spans="1:8" x14ac:dyDescent="0.3">
      <c r="A10" s="1" t="s">
        <v>8</v>
      </c>
      <c r="B10" s="12">
        <f>SUM(B2:B8)</f>
        <v>2140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Fitzmaurice, Kieran Patrick</dc:creator>
  <cp:lastModifiedBy>Fitzmason, Kieran Patrick</cp:lastModifiedBy>
  <dcterms:created xsi:type="dcterms:W3CDTF">2025-07-25T14:26:45Z</dcterms:created>
  <dcterms:modified xsi:type="dcterms:W3CDTF">2026-08-02T19:49:13Z</dcterms:modified>
</cp:coreProperties>
</file>